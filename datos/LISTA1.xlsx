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6 LAB2\Documents\OTM-106 David\OTM106-2025\datos\"/>
    </mc:Choice>
  </mc:AlternateContent>
  <xr:revisionPtr revIDLastSave="0" documentId="13_ncr:1_{4976656B-831B-4593-AC64-1285477F3325}" xr6:coauthVersionLast="47" xr6:coauthVersionMax="47" xr10:uidLastSave="{00000000-0000-0000-0000-000000000000}"/>
  <bookViews>
    <workbookView xWindow="-120" yWindow="-120" windowWidth="29040" windowHeight="15840" xr2:uid="{2C2EDEAE-2E2E-4BC6-BAF0-416FF21620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G2" i="1"/>
  <c r="H3" i="1"/>
  <c r="H4" i="1"/>
  <c r="H5" i="1"/>
  <c r="H6" i="1"/>
  <c r="H2" i="1"/>
  <c r="G3" i="1"/>
  <c r="G4" i="1"/>
  <c r="G5" i="1"/>
  <c r="G6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<sst xmlns="http://schemas.openxmlformats.org/spreadsheetml/2006/main" count="21" uniqueCount="14">
  <si>
    <t>Número</t>
  </si>
  <si>
    <t>Nombre</t>
  </si>
  <si>
    <t xml:space="preserve">fecha de nacimiento </t>
  </si>
  <si>
    <t>edad</t>
  </si>
  <si>
    <t>genero</t>
  </si>
  <si>
    <t>Nicolas</t>
  </si>
  <si>
    <t>Luciana</t>
  </si>
  <si>
    <t>Alejandro</t>
  </si>
  <si>
    <t>Carlos</t>
  </si>
  <si>
    <t>Carolina</t>
  </si>
  <si>
    <t>M</t>
  </si>
  <si>
    <t>F</t>
  </si>
  <si>
    <t>Promedio edad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</si>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</sst>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2EF5-6C3A-4212-9666-0025893AA56B}">
  <dimension ref="A1:H10"/>
  <sheetViews>
    <sheetView tabSelected="1" workbookViewId="0">
      <selection activeCell="E11" sqref="E11"/>
    </sheetView>
  </sheetViews>
  <sheetFormatPr baseColWidth="10" defaultRowHeight="15" x14ac:dyDescent="0.25"/>
  <cols>
    <col min="1" max="1" width="11.85546875" bestFit="1" customWidth="1"/>
    <col min="3" max="3" width="21.2851562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10</v>
      </c>
      <c r="H1" t="s">
        <v>11</v>
      </c>
    </row>
    <row r="2" spans="1:8" x14ac:dyDescent="0.25">
      <c r="A2">
        <v>1</v>
      </c>
      <c r="B2" t="s">
        <v>5</v>
      </c>
      <c r="C2" s="1">
        <v>39066</v>
      </c>
      <c r="D2" s="1">
        <v>45755</v>
      </c>
      <c r="E2">
        <f>INT(ABS(D2-C2)/365)</f>
        <v>18</v>
      </c>
      <c r="F2" t="s">
        <v>10</v>
      </c>
      <c r="G2">
        <f>IF(F2="M",1,0)</f>
        <v>1</v>
      </c>
      <c r="H2">
        <f>IF(F2="F",1,0)</f>
        <v>0</v>
      </c>
    </row>
    <row r="3" spans="1:8" x14ac:dyDescent="0.25">
      <c r="A3">
        <v>2</v>
      </c>
      <c r="B3" t="s">
        <v>6</v>
      </c>
      <c r="C3" s="1">
        <v>35969</v>
      </c>
      <c r="D3" s="1">
        <v>45755</v>
      </c>
      <c r="E3">
        <f t="shared" ref="E3:E6" si="0">INT(ABS(D3-C3)/365)</f>
        <v>26</v>
      </c>
      <c r="F3" t="s">
        <v>11</v>
      </c>
      <c r="G3">
        <f t="shared" ref="G3:G6" si="1">IF(F3="M",1,0)</f>
        <v>0</v>
      </c>
      <c r="H3">
        <f t="shared" ref="H3:H6" si="2">IF(F3="F",1,0)</f>
        <v>1</v>
      </c>
    </row>
    <row r="4" spans="1:8" x14ac:dyDescent="0.25">
      <c r="A4">
        <v>3</v>
      </c>
      <c r="B4" t="s">
        <v>7</v>
      </c>
      <c r="C4" s="1">
        <v>36649</v>
      </c>
      <c r="D4" s="1">
        <v>45755</v>
      </c>
      <c r="E4">
        <f t="shared" si="0"/>
        <v>24</v>
      </c>
      <c r="F4" t="s">
        <v>10</v>
      </c>
      <c r="G4">
        <f t="shared" si="1"/>
        <v>1</v>
      </c>
      <c r="H4">
        <f t="shared" si="2"/>
        <v>0</v>
      </c>
    </row>
    <row r="5" spans="1:8" x14ac:dyDescent="0.25">
      <c r="A5">
        <v>4</v>
      </c>
      <c r="B5" t="s">
        <v>8</v>
      </c>
      <c r="C5" s="1">
        <v>32188</v>
      </c>
      <c r="D5" s="1">
        <v>45755</v>
      </c>
      <c r="E5">
        <f t="shared" si="0"/>
        <v>37</v>
      </c>
      <c r="F5" t="s">
        <v>10</v>
      </c>
      <c r="G5">
        <f t="shared" si="1"/>
        <v>1</v>
      </c>
      <c r="H5">
        <f t="shared" si="2"/>
        <v>0</v>
      </c>
    </row>
    <row r="6" spans="1:8" x14ac:dyDescent="0.25">
      <c r="A6">
        <v>5</v>
      </c>
      <c r="B6" t="s">
        <v>9</v>
      </c>
      <c r="C6" s="1">
        <v>36433</v>
      </c>
      <c r="D6" s="1">
        <v>45755</v>
      </c>
      <c r="E6">
        <f t="shared" si="0"/>
        <v>25</v>
      </c>
      <c r="F6" t="s">
        <v>11</v>
      </c>
      <c r="G6">
        <f t="shared" si="1"/>
        <v>0</v>
      </c>
      <c r="H6">
        <f t="shared" si="2"/>
        <v>1</v>
      </c>
    </row>
    <row r="7" spans="1:8" x14ac:dyDescent="0.25">
      <c r="C7" s="1" t="s">
        <v>12</v>
      </c>
      <c r="E7">
        <f>AVERAGE(E2:E6)</f>
        <v>26</v>
      </c>
    </row>
    <row r="8" spans="1:8" x14ac:dyDescent="0.25">
      <c r="D8" t="s">
        <v>11</v>
      </c>
      <c r="E8">
        <f>SUM(G2:G6)</f>
        <v>3</v>
      </c>
    </row>
    <row r="9" spans="1:8" x14ac:dyDescent="0.25">
      <c r="D9" t="s">
        <v>10</v>
      </c>
      <c r="E9">
        <f>SUM(H2:H6)</f>
        <v>2</v>
      </c>
    </row>
    <row r="10" spans="1:8" x14ac:dyDescent="0.25">
      <c r="D10" t="s">
        <v>13</v>
      </c>
      <c r="E10">
        <f>SUM(E8:E9)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SALGUEIRO</dc:creator>
  <cp:lastModifiedBy>ROGER SALGUEIRO </cp:lastModifiedBy>
  <dcterms:created xsi:type="dcterms:W3CDTF">2025-04-09T01:11:54Z</dcterms:created>
  <dcterms:modified xsi:type="dcterms:W3CDTF">2025-04-23T01:45:14Z</dcterms:modified>
</cp:coreProperties>
</file>